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Work\Contractor Level UP\Takeoffs\TAKEOFF ID 52 - LOVESAC CORNER SHOPPES AT STADIUM\"/>
    </mc:Choice>
  </mc:AlternateContent>
  <bookViews>
    <workbookView xWindow="0" yWindow="0" windowWidth="9330" windowHeight="9090"/>
  </bookViews>
  <sheets>
    <sheet name="BASE BID" sheetId="8" r:id="rId1"/>
  </sheets>
  <definedNames>
    <definedName name="_xlnm.Print_Area" localSheetId="0">'BASE BID'!$A$2:$O$47</definedName>
    <definedName name="_xlnm.Print_Titles" localSheetId="0">'BASE BID'!$1:$9</definedName>
  </definedNames>
  <calcPr calcId="162913"/>
</workbook>
</file>

<file path=xl/calcChain.xml><?xml version="1.0" encoding="utf-8"?>
<calcChain xmlns="http://schemas.openxmlformats.org/spreadsheetml/2006/main">
  <c r="M37" i="8" l="1"/>
  <c r="L37" i="8"/>
  <c r="M24" i="8"/>
  <c r="K24" i="8"/>
  <c r="F37" i="8"/>
  <c r="K37" i="8" s="1"/>
  <c r="F34" i="8"/>
  <c r="M34" i="8" s="1"/>
  <c r="F33" i="8"/>
  <c r="M33" i="8" s="1"/>
  <c r="F32" i="8"/>
  <c r="L32" i="8" s="1"/>
  <c r="F28" i="8"/>
  <c r="M28" i="8" s="1"/>
  <c r="F27" i="8"/>
  <c r="M27" i="8" s="1"/>
  <c r="F24" i="8"/>
  <c r="L24" i="8" s="1"/>
  <c r="F21" i="8"/>
  <c r="K21" i="8" s="1"/>
  <c r="A20" i="8"/>
  <c r="A22" i="8"/>
  <c r="A23" i="8"/>
  <c r="A25" i="8"/>
  <c r="A26" i="8"/>
  <c r="A30" i="8"/>
  <c r="A31" i="8"/>
  <c r="A35" i="8"/>
  <c r="A36" i="8"/>
  <c r="D29" i="8"/>
  <c r="F29" i="8" s="1"/>
  <c r="A38" i="8"/>
  <c r="A39" i="8"/>
  <c r="M21" i="8" l="1"/>
  <c r="M29" i="8"/>
  <c r="L29" i="8"/>
  <c r="M32" i="8"/>
  <c r="N37" i="8"/>
  <c r="K33" i="8"/>
  <c r="L21" i="8"/>
  <c r="N21" i="8" s="1"/>
  <c r="K34" i="8"/>
  <c r="K28" i="8"/>
  <c r="N28" i="8" s="1"/>
  <c r="N29" i="8"/>
  <c r="L28" i="8"/>
  <c r="L33" i="8"/>
  <c r="K29" i="8"/>
  <c r="N24" i="8"/>
  <c r="K27" i="8"/>
  <c r="L34" i="8"/>
  <c r="N34" i="8" s="1"/>
  <c r="L27" i="8"/>
  <c r="K32" i="8"/>
  <c r="N32" i="8" s="1"/>
  <c r="N27" i="8" l="1"/>
  <c r="O39" i="8" s="1"/>
  <c r="N33" i="8"/>
  <c r="K39" i="8"/>
  <c r="M39" i="8"/>
  <c r="L39" i="8"/>
  <c r="A19" i="8" l="1"/>
  <c r="F14" i="8" l="1"/>
  <c r="L14" i="8" s="1"/>
  <c r="K14" i="8" l="1"/>
  <c r="M14" i="8"/>
  <c r="N14" i="8" l="1"/>
  <c r="A16" i="8" l="1"/>
  <c r="A15" i="8"/>
  <c r="E13" i="8"/>
  <c r="F13" i="8" s="1"/>
  <c r="A12" i="8"/>
  <c r="A13" i="8" l="1"/>
  <c r="A14" i="8" s="1"/>
  <c r="L13" i="8"/>
  <c r="K13" i="8"/>
  <c r="M13" i="8"/>
  <c r="M16" i="8" s="1"/>
  <c r="M41" i="8" s="1"/>
  <c r="L16" i="8" l="1"/>
  <c r="L41" i="8" s="1"/>
  <c r="K16" i="8"/>
  <c r="K41" i="8" s="1"/>
  <c r="N13" i="8"/>
  <c r="O16" i="8" l="1"/>
  <c r="O41" i="8" s="1"/>
  <c r="O43" i="8" l="1"/>
  <c r="O42" i="8"/>
  <c r="O44" i="8"/>
  <c r="O45" i="8" l="1"/>
  <c r="A21" i="8" l="1"/>
  <c r="A24" i="8" s="1"/>
  <c r="A27" i="8" l="1"/>
  <c r="A28" i="8" s="1"/>
  <c r="A29" i="8" l="1"/>
  <c r="A32" i="8"/>
  <c r="A33" i="8" l="1"/>
  <c r="A34" i="8" l="1"/>
  <c r="A37" i="8" s="1"/>
</calcChain>
</file>

<file path=xl/sharedStrings.xml><?xml version="1.0" encoding="utf-8"?>
<sst xmlns="http://schemas.openxmlformats.org/spreadsheetml/2006/main" count="58" uniqueCount="51">
  <si>
    <t>ITEM #</t>
  </si>
  <si>
    <t>DESCRIPTION</t>
  </si>
  <si>
    <t>QUANTITY</t>
  </si>
  <si>
    <t>UNIT</t>
  </si>
  <si>
    <t>INSURANCE</t>
  </si>
  <si>
    <t>TOTAL BASE BID</t>
  </si>
  <si>
    <t>CONTINGENCY</t>
  </si>
  <si>
    <t>Note:</t>
  </si>
  <si>
    <t>TRADE  COST</t>
  </si>
  <si>
    <t>SUBTOTAL</t>
  </si>
  <si>
    <t>SCOPE:</t>
  </si>
  <si>
    <t>PROJECT ID:</t>
  </si>
  <si>
    <t>TOTAL COST</t>
  </si>
  <si>
    <t>OVERHEAD &amp; PROFIT</t>
  </si>
  <si>
    <t>UNIT LABOUR</t>
  </si>
  <si>
    <t>UNIT MATERIAL</t>
  </si>
  <si>
    <t>TOTAL MATERIAL</t>
  </si>
  <si>
    <t>WASTAGE</t>
  </si>
  <si>
    <t>TOTAL LABOR</t>
  </si>
  <si>
    <t>UNIT EQUIPMENT</t>
  </si>
  <si>
    <t>TOTAL EQUIPMENT</t>
  </si>
  <si>
    <t>QUANTITY WITH WASTAGE</t>
  </si>
  <si>
    <t>DIVISION 1- GENERAL</t>
  </si>
  <si>
    <t>EA</t>
  </si>
  <si>
    <t>Subtotal (General)</t>
  </si>
  <si>
    <t>BASE BID</t>
  </si>
  <si>
    <t>Documentation &amp; Shop Drawings</t>
  </si>
  <si>
    <t>LS</t>
  </si>
  <si>
    <t>Management &amp; Supervision (Weeks)</t>
  </si>
  <si>
    <t>Drawing #</t>
  </si>
  <si>
    <t>PROJECT AREA:</t>
  </si>
  <si>
    <t>DIVISION 9- FINISHES</t>
  </si>
  <si>
    <t>SF</t>
  </si>
  <si>
    <t>FT</t>
  </si>
  <si>
    <t>Vinyl to Porcelain Transition</t>
  </si>
  <si>
    <t>LOVESAC CORNER SHOPPES AT STADIUM - 5097 CENTURY AVE, SUITE D KALAMAZOO, MI 49006</t>
  </si>
  <si>
    <t>FLOORING</t>
  </si>
  <si>
    <t>Vinyl Flooring</t>
  </si>
  <si>
    <t>V-1: 12"x12"x1/8" Vinyl Composition Tile Flooring_x000D_
-Manufacturer: Armstrong_x000D_
-Color/Style" Standard Excelon Imperial Texture Desert Beige 51809</t>
  </si>
  <si>
    <t>Porcelain Flooring</t>
  </si>
  <si>
    <t>T-1: 8"x48"x3/8" Light Color Wood Grain Plank Porcelain Tile_x000D_
-Manufacturer: Patcraft_x000D_
-Color/Style: CS50H - White Oak 00100_x000D_
-Use Staggered End Joints, 1/8" Max. Grout Line between Joints; Sales Flooring</t>
  </si>
  <si>
    <t>Wood Flooring</t>
  </si>
  <si>
    <t>W-1: 6 1/2" Wide x 3/8" Thick Light Color Engineered Hardwood Plank_x000D_
-Manufacturer: Shaw_x000D_
-Color/Style: Lovesac Oak 1089 Harbor</t>
  </si>
  <si>
    <t>W-1: 6 1/2" Wide x 3/8" Thick Light Color Engineered Hardwood Plank (7" High)_x000D_
-Manufacturer: Shaw_x000D_
-Color/Style: Lovesac Oak 1089 Harbor_x000D_</t>
  </si>
  <si>
    <t>Teal 3/8" Schluter-Indec Style Edge Trim to Cap Wood Flooring at Top Horizontal Edge and Side Edges of Stage (Add: 7"x4)</t>
  </si>
  <si>
    <t>Wall Base</t>
  </si>
  <si>
    <t>Rubber Base to Match Flooring</t>
  </si>
  <si>
    <t>MDF Painted Wood Base</t>
  </si>
  <si>
    <t>Painted Wood Ledger @Masonry Wall Base</t>
  </si>
  <si>
    <t>Floor Transition</t>
  </si>
  <si>
    <t>Subtotal (Finishes)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</si>
</sst>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"/>
    <numFmt numFmtId="166" formatCode="0.0%"/>
    <numFmt numFmtId="167" formatCode="0\ &quot;SF&quot;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B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B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3" borderId="4" xfId="0" applyFont="1" applyFill="1" applyBorder="1" applyAlignment="1">
      <alignment horizontal="centerContinuous" vertical="center"/>
    </xf>
    <xf numFmtId="0" fontId="10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Continuous" vertical="center"/>
    </xf>
    <xf numFmtId="0" fontId="9" fillId="3" borderId="10" xfId="0" applyFont="1" applyFill="1" applyBorder="1" applyAlignment="1">
      <alignment horizontal="centerContinuous" vertical="center"/>
    </xf>
    <xf numFmtId="0" fontId="11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10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Continuous" vertical="center"/>
    </xf>
    <xf numFmtId="0" fontId="0" fillId="0" borderId="3" xfId="0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/>
    </xf>
    <xf numFmtId="164" fontId="13" fillId="3" borderId="3" xfId="0" applyNumberFormat="1" applyFont="1" applyFill="1" applyBorder="1" applyAlignment="1">
      <alignment horizontal="right" vertical="center"/>
    </xf>
    <xf numFmtId="164" fontId="11" fillId="3" borderId="3" xfId="0" applyNumberFormat="1" applyFont="1" applyFill="1" applyBorder="1" applyAlignment="1">
      <alignment horizontal="centerContinuous" vertical="center"/>
    </xf>
    <xf numFmtId="164" fontId="11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right" vertical="center"/>
    </xf>
    <xf numFmtId="164" fontId="11" fillId="3" borderId="0" xfId="0" applyNumberFormat="1" applyFont="1" applyFill="1" applyAlignment="1">
      <alignment horizontal="centerContinuous" vertical="center"/>
    </xf>
    <xf numFmtId="164" fontId="12" fillId="3" borderId="0" xfId="0" applyNumberFormat="1" applyFont="1" applyFill="1" applyAlignment="1">
      <alignment vertical="center"/>
    </xf>
    <xf numFmtId="164" fontId="4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Continuous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66" fontId="14" fillId="5" borderId="2" xfId="0" applyNumberFormat="1" applyFont="1" applyFill="1" applyBorder="1" applyAlignment="1">
      <alignment vertical="center"/>
    </xf>
    <xf numFmtId="166" fontId="14" fillId="5" borderId="2" xfId="0" applyNumberFormat="1" applyFont="1" applyFill="1" applyBorder="1" applyAlignment="1">
      <alignment horizontal="center" vertical="center"/>
    </xf>
    <xf numFmtId="164" fontId="14" fillId="5" borderId="2" xfId="0" applyNumberFormat="1" applyFont="1" applyFill="1" applyBorder="1" applyAlignment="1">
      <alignment horizontal="center" vertical="center"/>
    </xf>
    <xf numFmtId="164" fontId="14" fillId="5" borderId="2" xfId="0" applyNumberFormat="1" applyFont="1" applyFill="1" applyBorder="1" applyAlignment="1">
      <alignment vertical="center"/>
    </xf>
    <xf numFmtId="164" fontId="15" fillId="5" borderId="7" xfId="0" applyNumberFormat="1" applyFont="1" applyFill="1" applyBorder="1" applyAlignment="1">
      <alignment vertical="center"/>
    </xf>
    <xf numFmtId="165" fontId="2" fillId="7" borderId="1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9" fontId="1" fillId="2" borderId="0" xfId="0" applyNumberFormat="1" applyFont="1" applyFill="1" applyAlignment="1">
      <alignment vertical="center"/>
    </xf>
    <xf numFmtId="9" fontId="1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164" fontId="1" fillId="2" borderId="10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" fillId="7" borderId="8" xfId="0" applyFont="1" applyFill="1" applyBorder="1" applyAlignment="1">
      <alignment horizontal="right" vertical="center"/>
    </xf>
    <xf numFmtId="9" fontId="4" fillId="0" borderId="1" xfId="1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164" fontId="4" fillId="7" borderId="6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0" fontId="19" fillId="3" borderId="9" xfId="0" applyFont="1" applyFill="1" applyBorder="1" applyAlignment="1">
      <alignment horizontal="centerContinuous" vertical="center"/>
    </xf>
    <xf numFmtId="0" fontId="20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9" fillId="3" borderId="0" xfId="0" applyFont="1" applyFill="1" applyAlignment="1">
      <alignment horizontal="center" vertical="center"/>
    </xf>
    <xf numFmtId="164" fontId="21" fillId="3" borderId="0" xfId="0" applyNumberFormat="1" applyFont="1" applyFill="1" applyAlignment="1">
      <alignment horizontal="center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5" fillId="5" borderId="1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1" fillId="2" borderId="3" xfId="0" applyNumberFormat="1" applyFont="1" applyFill="1" applyBorder="1" applyAlignment="1">
      <alignment vertical="center" wrapText="1"/>
    </xf>
    <xf numFmtId="9" fontId="1" fillId="2" borderId="0" xfId="0" applyNumberFormat="1" applyFont="1" applyFill="1" applyAlignment="1">
      <alignment vertical="center" wrapText="1"/>
    </xf>
    <xf numFmtId="166" fontId="14" fillId="5" borderId="2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Continuous" vertical="center" wrapText="1"/>
    </xf>
    <xf numFmtId="1" fontId="4" fillId="0" borderId="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166" fontId="23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wrapText="1"/>
    </xf>
    <xf numFmtId="0" fontId="22" fillId="9" borderId="1" xfId="0" applyFont="1" applyFill="1" applyBorder="1" applyAlignment="1">
      <alignment wrapText="1"/>
    </xf>
    <xf numFmtId="0" fontId="23" fillId="9" borderId="1" xfId="0" applyFont="1" applyFill="1" applyBorder="1" applyAlignment="1">
      <alignment horizontal="center" vertical="center"/>
    </xf>
    <xf numFmtId="164" fontId="23" fillId="9" borderId="6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9" fontId="4" fillId="0" borderId="0" xfId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21" fillId="3" borderId="0" xfId="0" applyFont="1" applyFill="1" applyAlignment="1">
      <alignment horizontal="left" vertical="center" wrapText="1"/>
    </xf>
    <xf numFmtId="167" fontId="21" fillId="3" borderId="0" xfId="0" applyNumberFormat="1" applyFont="1" applyFill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164" fontId="22" fillId="5" borderId="1" xfId="0" applyNumberFormat="1" applyFont="1" applyFill="1" applyBorder="1" applyAlignment="1">
      <alignment horizontal="center" vertical="center"/>
    </xf>
    <xf numFmtId="164" fontId="22" fillId="5" borderId="1" xfId="0" applyNumberFormat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 wrapText="1"/>
    </xf>
    <xf numFmtId="0" fontId="1" fillId="8" borderId="14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6" fillId="4" borderId="1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EF9F4"/>
      <color rgb="FFFEF4EC"/>
      <color rgb="FFF2F0F6"/>
      <color rgb="FF0000B3"/>
      <color rgb="FF007F00"/>
      <color rgb="FFFC6C00"/>
      <color rgb="FFFF6600"/>
      <color rgb="FFFE6500"/>
      <color rgb="FF757F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44823</xdr:colOff>
      <xdr:row>3</xdr:row>
      <xdr:rowOff>56030</xdr:rowOff>
    </xdr:from>
    <xdr:to>
      <xdr:col>14</xdr:col>
      <xdr:colOff>787858</xdr:colOff>
      <xdr:row>7</xdr:row>
      <xdr:rowOff>23533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6205" y="728383"/>
          <a:ext cx="3723800" cy="717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F00"/>
    <pageSetUpPr fitToPage="1"/>
  </sheetPr>
  <dimension ref="A1:Q47"/>
  <sheetViews>
    <sheetView showGridLines="0" tabSelected="1" view="pageBreakPreview" zoomScaleSheetLayoutView="100" workbookViewId="0">
      <pane ySplit="9" topLeftCell="A18" activePane="bottomLeft" state="frozen"/>
      <selection activeCell="A2" sqref="A2"/>
      <selection pane="bottomLeft" activeCell="E28" sqref="E28"/>
    </sheetView>
  </sheetViews>
  <sheetFormatPr defaultColWidth="9.140625" defaultRowHeight="15.75" x14ac:dyDescent="0.25"/>
  <cols>
    <col min="1" max="1" width="8.5703125" style="1" customWidth="1"/>
    <col min="2" max="2" width="12.7109375" style="13" customWidth="1"/>
    <col min="3" max="3" width="56.42578125" style="88" customWidth="1"/>
    <col min="4" max="5" width="12.7109375" style="1" customWidth="1"/>
    <col min="6" max="6" width="18.85546875" style="5" customWidth="1"/>
    <col min="7" max="7" width="6.42578125" style="108" customWidth="1"/>
    <col min="8" max="8" width="13.42578125" style="41" customWidth="1"/>
    <col min="9" max="9" width="14.7109375" style="41" bestFit="1" customWidth="1"/>
    <col min="10" max="10" width="14.42578125" style="41" customWidth="1"/>
    <col min="11" max="11" width="15.42578125" style="41" customWidth="1"/>
    <col min="12" max="12" width="15.140625" style="42" customWidth="1"/>
    <col min="13" max="13" width="15.85546875" style="42" customWidth="1"/>
    <col min="14" max="14" width="13.7109375" style="42" customWidth="1"/>
    <col min="15" max="16" width="17.5703125" style="1" customWidth="1"/>
    <col min="17" max="17" width="21" style="1" customWidth="1"/>
    <col min="18" max="21" width="9.140625" style="1"/>
    <col min="22" max="22" width="2.5703125" style="1" customWidth="1"/>
    <col min="23" max="16384" width="9.140625" style="1"/>
  </cols>
  <sheetData>
    <row r="1" spans="1:17" ht="19.5" thickBot="1" x14ac:dyDescent="0.3">
      <c r="A1" s="2"/>
      <c r="B1" s="11"/>
      <c r="C1" s="3"/>
      <c r="D1" s="3"/>
      <c r="E1" s="3"/>
      <c r="F1" s="3"/>
      <c r="G1" s="105"/>
      <c r="H1" s="28"/>
      <c r="I1" s="28"/>
      <c r="J1" s="28"/>
      <c r="K1" s="28"/>
      <c r="L1" s="28"/>
      <c r="M1" s="28"/>
      <c r="N1" s="28"/>
      <c r="O1" s="4"/>
    </row>
    <row r="2" spans="1:17" x14ac:dyDescent="0.25">
      <c r="A2" s="14"/>
      <c r="B2" s="15"/>
      <c r="C2" s="86"/>
      <c r="D2" s="26"/>
      <c r="E2" s="26"/>
      <c r="F2" s="16"/>
      <c r="G2" s="22"/>
      <c r="H2" s="29"/>
      <c r="I2" s="29"/>
      <c r="J2" s="29"/>
      <c r="K2" s="29"/>
      <c r="L2" s="30"/>
      <c r="M2" s="30"/>
      <c r="N2" s="31"/>
      <c r="O2" s="17"/>
    </row>
    <row r="3" spans="1:17" ht="18.600000000000001" customHeight="1" x14ac:dyDescent="0.25">
      <c r="A3" s="71" t="s">
        <v>11</v>
      </c>
      <c r="B3" s="72"/>
      <c r="C3" s="122" t="s">
        <v>35</v>
      </c>
      <c r="D3" s="127"/>
      <c r="E3" s="127"/>
      <c r="F3" s="127"/>
      <c r="G3" s="127"/>
      <c r="H3" s="127"/>
      <c r="I3" s="127"/>
      <c r="J3" s="127"/>
      <c r="K3" s="127"/>
      <c r="L3" s="33"/>
      <c r="M3" s="1"/>
      <c r="N3" s="34"/>
      <c r="O3" s="18"/>
    </row>
    <row r="4" spans="1:17" ht="10.5" customHeight="1" x14ac:dyDescent="0.25">
      <c r="A4" s="73"/>
      <c r="B4" s="74"/>
      <c r="C4" s="87"/>
      <c r="D4" s="75"/>
      <c r="E4" s="75"/>
      <c r="F4" s="1"/>
      <c r="G4" s="19"/>
      <c r="H4" s="77"/>
      <c r="I4" s="77"/>
      <c r="J4" s="77"/>
      <c r="K4" s="77"/>
      <c r="L4" s="33"/>
      <c r="M4" s="33"/>
      <c r="N4" s="34"/>
      <c r="O4" s="18"/>
    </row>
    <row r="5" spans="1:17" ht="18.75" x14ac:dyDescent="0.25">
      <c r="A5" s="142" t="s">
        <v>10</v>
      </c>
      <c r="B5" s="143"/>
      <c r="C5" s="120" t="s">
        <v>36</v>
      </c>
      <c r="D5" s="79"/>
      <c r="E5" s="79"/>
      <c r="F5" s="76"/>
      <c r="G5" s="19"/>
      <c r="H5" s="77"/>
      <c r="I5" s="77"/>
      <c r="J5" s="77"/>
      <c r="K5" s="77"/>
      <c r="L5" s="33"/>
      <c r="M5" s="33"/>
      <c r="N5" s="34"/>
      <c r="O5" s="18"/>
    </row>
    <row r="6" spans="1:17" ht="10.5" customHeight="1" x14ac:dyDescent="0.25">
      <c r="A6" s="73"/>
      <c r="B6" s="74"/>
      <c r="C6" s="87"/>
      <c r="D6" s="75"/>
      <c r="E6" s="75"/>
      <c r="F6" s="1"/>
      <c r="G6" s="19"/>
      <c r="H6" s="77"/>
      <c r="I6" s="77"/>
      <c r="J6" s="77"/>
      <c r="K6" s="77"/>
      <c r="L6" s="33"/>
      <c r="M6" s="33"/>
      <c r="N6" s="34"/>
      <c r="O6" s="18"/>
    </row>
    <row r="7" spans="1:17" ht="18.75" x14ac:dyDescent="0.25">
      <c r="A7" s="78" t="s">
        <v>30</v>
      </c>
      <c r="B7" s="72"/>
      <c r="C7" s="121">
        <v>2555</v>
      </c>
      <c r="F7" s="20"/>
      <c r="G7" s="19"/>
      <c r="H7" s="32"/>
      <c r="I7" s="32"/>
      <c r="J7" s="32"/>
      <c r="K7" s="32"/>
      <c r="L7" s="33"/>
      <c r="M7" s="33"/>
      <c r="N7" s="35"/>
      <c r="O7" s="21"/>
    </row>
    <row r="8" spans="1:17" x14ac:dyDescent="0.25">
      <c r="A8" s="118"/>
      <c r="F8" s="20"/>
      <c r="G8" s="19"/>
      <c r="H8" s="32"/>
      <c r="I8" s="32"/>
      <c r="J8" s="32"/>
      <c r="K8" s="32"/>
      <c r="L8" s="33"/>
      <c r="M8" s="33"/>
      <c r="N8" s="35"/>
      <c r="O8" s="119"/>
    </row>
    <row r="9" spans="1:17" ht="31.5" x14ac:dyDescent="0.25">
      <c r="A9" s="124" t="s">
        <v>0</v>
      </c>
      <c r="B9" s="106" t="s">
        <v>29</v>
      </c>
      <c r="C9" s="124" t="s">
        <v>1</v>
      </c>
      <c r="D9" s="106" t="s">
        <v>2</v>
      </c>
      <c r="E9" s="106" t="s">
        <v>17</v>
      </c>
      <c r="F9" s="124" t="s">
        <v>21</v>
      </c>
      <c r="G9" s="106" t="s">
        <v>3</v>
      </c>
      <c r="H9" s="126" t="s">
        <v>15</v>
      </c>
      <c r="I9" s="125" t="s">
        <v>14</v>
      </c>
      <c r="J9" s="126" t="s">
        <v>19</v>
      </c>
      <c r="K9" s="126" t="s">
        <v>16</v>
      </c>
      <c r="L9" s="126" t="s">
        <v>18</v>
      </c>
      <c r="M9" s="126" t="s">
        <v>20</v>
      </c>
      <c r="N9" s="126" t="s">
        <v>12</v>
      </c>
      <c r="O9" s="106" t="s">
        <v>8</v>
      </c>
      <c r="P9" s="82"/>
    </row>
    <row r="10" spans="1:17" s="9" customFormat="1" ht="15.75" customHeight="1" x14ac:dyDescent="0.25">
      <c r="A10" s="130" t="s">
        <v>25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9"/>
      <c r="O10" s="10"/>
    </row>
    <row r="11" spans="1:17" s="9" customFormat="1" x14ac:dyDescent="0.25">
      <c r="A11" s="141"/>
      <c r="B11" s="141"/>
      <c r="C11" s="89" t="s">
        <v>22</v>
      </c>
      <c r="D11" s="131"/>
      <c r="E11" s="132"/>
      <c r="F11" s="134"/>
      <c r="G11" s="134"/>
      <c r="H11" s="134"/>
      <c r="I11" s="134"/>
      <c r="J11" s="134"/>
      <c r="K11" s="134"/>
      <c r="L11" s="134"/>
      <c r="M11" s="134"/>
      <c r="N11" s="134"/>
      <c r="O11" s="133"/>
    </row>
    <row r="12" spans="1:17" s="9" customFormat="1" x14ac:dyDescent="0.25">
      <c r="A12" s="85" t="str">
        <f>IF(F12=0,"",1+MAX(A11:A$40))</f>
        <v/>
      </c>
      <c r="B12" s="97"/>
      <c r="C12" s="102"/>
      <c r="D12" s="103"/>
      <c r="E12" s="103"/>
      <c r="F12" s="6"/>
      <c r="G12" s="6"/>
      <c r="H12" s="36"/>
      <c r="I12" s="36"/>
      <c r="J12" s="36"/>
      <c r="K12" s="36"/>
      <c r="L12" s="36"/>
      <c r="M12" s="36"/>
      <c r="N12" s="36"/>
      <c r="O12" s="84"/>
    </row>
    <row r="13" spans="1:17" s="9" customFormat="1" x14ac:dyDescent="0.25">
      <c r="A13" s="83">
        <f>IF(F13=0,"",1+MAX(A$10:A12))</f>
        <v>1</v>
      </c>
      <c r="B13" s="117"/>
      <c r="C13" s="104" t="s">
        <v>28</v>
      </c>
      <c r="D13" s="80">
        <v>1</v>
      </c>
      <c r="E13" s="64">
        <f>IF(G13="EA",0,10%)</f>
        <v>0</v>
      </c>
      <c r="F13" s="80">
        <f>ROUNDUP(D13+(E13*D13),0)</f>
        <v>1</v>
      </c>
      <c r="G13" s="80" t="s">
        <v>23</v>
      </c>
      <c r="H13" s="36"/>
      <c r="I13" s="36"/>
      <c r="J13" s="36"/>
      <c r="K13" s="36">
        <f>H13*F13</f>
        <v>0</v>
      </c>
      <c r="L13" s="36">
        <f>I13*F13</f>
        <v>0</v>
      </c>
      <c r="M13" s="36">
        <f>J13*F13</f>
        <v>0</v>
      </c>
      <c r="N13" s="36">
        <f>K13+L13+M13</f>
        <v>0</v>
      </c>
      <c r="O13" s="84"/>
      <c r="P13" s="113"/>
    </row>
    <row r="14" spans="1:17" s="9" customFormat="1" x14ac:dyDescent="0.25">
      <c r="A14" s="83">
        <f>IF(F14=0,"",1+MAX(A$10:A13))</f>
        <v>2</v>
      </c>
      <c r="B14" s="117"/>
      <c r="C14" s="104" t="s">
        <v>26</v>
      </c>
      <c r="D14" s="80">
        <v>1</v>
      </c>
      <c r="E14" s="64">
        <v>0</v>
      </c>
      <c r="F14" s="80">
        <f>ROUNDUP(D14+(E14*D14),0)</f>
        <v>1</v>
      </c>
      <c r="G14" s="80" t="s">
        <v>27</v>
      </c>
      <c r="H14" s="36"/>
      <c r="I14" s="36"/>
      <c r="J14" s="36"/>
      <c r="K14" s="36">
        <f>H14*F14</f>
        <v>0</v>
      </c>
      <c r="L14" s="36">
        <f>I14*F14</f>
        <v>0</v>
      </c>
      <c r="M14" s="36">
        <f>J14*F14</f>
        <v>0</v>
      </c>
      <c r="N14" s="36">
        <f>K14+L14+M14</f>
        <v>0</v>
      </c>
      <c r="O14" s="84"/>
      <c r="Q14" s="113"/>
    </row>
    <row r="15" spans="1:17" s="9" customFormat="1" x14ac:dyDescent="0.25">
      <c r="A15" s="83" t="str">
        <f>IF(F15=0,"",1+MAX(A$10:A13))</f>
        <v/>
      </c>
      <c r="B15" s="101"/>
      <c r="C15" s="104"/>
      <c r="D15" s="104"/>
      <c r="E15" s="104"/>
      <c r="F15" s="80"/>
      <c r="G15" s="80"/>
      <c r="H15" s="36"/>
      <c r="I15" s="36"/>
      <c r="J15" s="36"/>
      <c r="K15" s="36"/>
      <c r="L15" s="36"/>
      <c r="M15" s="36"/>
      <c r="N15" s="36"/>
      <c r="O15" s="84"/>
      <c r="Q15" s="114"/>
    </row>
    <row r="16" spans="1:17" s="9" customFormat="1" x14ac:dyDescent="0.25">
      <c r="A16" s="83" t="str">
        <f>IF(F16=0,"",1+MAX(A15:A$40))</f>
        <v/>
      </c>
      <c r="B16" s="27"/>
      <c r="C16" s="90" t="s">
        <v>24</v>
      </c>
      <c r="D16" s="63"/>
      <c r="E16" s="63"/>
      <c r="F16" s="65"/>
      <c r="G16" s="66"/>
      <c r="H16" s="67"/>
      <c r="I16" s="67"/>
      <c r="J16" s="67"/>
      <c r="K16" s="70">
        <f>SUM(K12:K15)</f>
        <v>0</v>
      </c>
      <c r="L16" s="70">
        <f>SUM(L12:L15)</f>
        <v>0</v>
      </c>
      <c r="M16" s="70">
        <f>SUM(M12:M15)</f>
        <v>0</v>
      </c>
      <c r="N16" s="68"/>
      <c r="O16" s="48">
        <f>(SUM(N12:N16))</f>
        <v>0</v>
      </c>
      <c r="P16" s="113"/>
      <c r="Q16" s="115"/>
    </row>
    <row r="17" spans="1:15" s="9" customFormat="1" x14ac:dyDescent="0.25">
      <c r="A17" s="69"/>
      <c r="B17" s="12"/>
      <c r="C17" s="91"/>
      <c r="D17" s="7"/>
      <c r="E17" s="7"/>
      <c r="F17" s="8"/>
      <c r="G17" s="8"/>
      <c r="H17" s="37"/>
      <c r="I17" s="37"/>
      <c r="J17" s="37"/>
      <c r="K17" s="37"/>
      <c r="L17" s="38"/>
      <c r="M17" s="38"/>
      <c r="N17" s="38"/>
      <c r="O17" s="10"/>
    </row>
    <row r="18" spans="1:15" s="9" customFormat="1" x14ac:dyDescent="0.25">
      <c r="A18" s="141"/>
      <c r="B18" s="141"/>
      <c r="C18" s="89" t="s">
        <v>31</v>
      </c>
      <c r="D18" s="131"/>
      <c r="E18" s="132"/>
      <c r="F18" s="134"/>
      <c r="G18" s="134"/>
      <c r="H18" s="134"/>
      <c r="I18" s="134"/>
      <c r="J18" s="134"/>
      <c r="K18" s="134"/>
      <c r="L18" s="134"/>
      <c r="M18" s="134"/>
      <c r="N18" s="134"/>
      <c r="O18" s="133"/>
    </row>
    <row r="19" spans="1:15" s="9" customFormat="1" x14ac:dyDescent="0.25">
      <c r="A19" s="83" t="str">
        <f>IF(F19=0,"",1+MAX(A$10:A18))</f>
        <v/>
      </c>
      <c r="B19" s="123"/>
      <c r="C19" s="109"/>
      <c r="D19" s="80"/>
      <c r="E19" s="80"/>
      <c r="F19" s="80"/>
      <c r="G19" s="80"/>
      <c r="H19" s="36"/>
      <c r="I19" s="36"/>
      <c r="J19" s="36"/>
      <c r="K19" s="36"/>
      <c r="L19" s="36"/>
      <c r="M19" s="36"/>
      <c r="N19" s="36"/>
      <c r="O19" s="84"/>
    </row>
    <row r="20" spans="1:15" s="9" customFormat="1" x14ac:dyDescent="0.25">
      <c r="A20" s="135" t="str">
        <f>IF(F20=0,"",1+MAX(A$10:A19))</f>
        <v/>
      </c>
      <c r="B20" s="144"/>
      <c r="C20" s="110" t="s">
        <v>37</v>
      </c>
      <c r="D20" s="111"/>
      <c r="E20" s="111"/>
      <c r="F20" s="111"/>
      <c r="G20" s="111"/>
      <c r="H20" s="112"/>
      <c r="I20" s="112"/>
      <c r="J20" s="112"/>
      <c r="K20" s="112"/>
      <c r="L20" s="112"/>
      <c r="M20" s="112"/>
      <c r="N20" s="112"/>
      <c r="O20" s="84"/>
    </row>
    <row r="21" spans="1:15" s="9" customFormat="1" ht="60" x14ac:dyDescent="0.25">
      <c r="A21" s="135">
        <f>IF(F21=0,"",1+MAX(A$10:A20))</f>
        <v>3</v>
      </c>
      <c r="B21" s="144"/>
      <c r="C21" s="137" t="s">
        <v>38</v>
      </c>
      <c r="D21" s="136">
        <v>311.52</v>
      </c>
      <c r="E21" s="64">
        <v>0.2</v>
      </c>
      <c r="F21" s="80">
        <f t="shared" ref="F21" si="0">ROUNDUP(D21+(E21*D21),0)</f>
        <v>374</v>
      </c>
      <c r="G21" s="136" t="s">
        <v>32</v>
      </c>
      <c r="H21" s="36"/>
      <c r="I21" s="36"/>
      <c r="J21" s="36"/>
      <c r="K21" s="36">
        <f t="shared" ref="K21" si="1">H21*F21</f>
        <v>0</v>
      </c>
      <c r="L21" s="36">
        <f t="shared" ref="L21" si="2">I21*F21</f>
        <v>0</v>
      </c>
      <c r="M21" s="36">
        <f t="shared" ref="M21" si="3">J21*F21</f>
        <v>0</v>
      </c>
      <c r="N21" s="36">
        <f t="shared" ref="N21" si="4">K21+L21+M21</f>
        <v>0</v>
      </c>
      <c r="O21" s="84"/>
    </row>
    <row r="22" spans="1:15" s="9" customFormat="1" x14ac:dyDescent="0.25">
      <c r="A22" s="135" t="str">
        <f>IF(F22=0,"",1+MAX(A$10:A21))</f>
        <v/>
      </c>
      <c r="B22" s="144"/>
      <c r="C22" s="137"/>
      <c r="D22" s="136"/>
      <c r="E22" s="136"/>
      <c r="F22" s="136"/>
      <c r="G22" s="136"/>
      <c r="H22" s="36"/>
      <c r="I22" s="36"/>
      <c r="J22" s="36"/>
      <c r="K22" s="36"/>
      <c r="L22" s="36"/>
      <c r="M22" s="36"/>
      <c r="N22" s="36"/>
      <c r="O22" s="84"/>
    </row>
    <row r="23" spans="1:15" s="9" customFormat="1" x14ac:dyDescent="0.25">
      <c r="A23" s="135" t="str">
        <f>IF(F23=0,"",1+MAX(A$10:A22))</f>
        <v/>
      </c>
      <c r="B23" s="144"/>
      <c r="C23" s="110" t="s">
        <v>39</v>
      </c>
      <c r="D23" s="111"/>
      <c r="E23" s="111"/>
      <c r="F23" s="111"/>
      <c r="G23" s="111"/>
      <c r="H23" s="112"/>
      <c r="I23" s="112"/>
      <c r="J23" s="112"/>
      <c r="K23" s="112"/>
      <c r="L23" s="112"/>
      <c r="M23" s="112"/>
      <c r="N23" s="112"/>
      <c r="O23" s="84"/>
    </row>
    <row r="24" spans="1:15" s="9" customFormat="1" ht="75" x14ac:dyDescent="0.25">
      <c r="A24" s="135">
        <f>IF(F24=0,"",1+MAX(A$10:A23))</f>
        <v>4</v>
      </c>
      <c r="B24" s="144"/>
      <c r="C24" s="137" t="s">
        <v>40</v>
      </c>
      <c r="D24" s="136">
        <v>1934.66</v>
      </c>
      <c r="E24" s="64">
        <v>0.1</v>
      </c>
      <c r="F24" s="80">
        <f t="shared" ref="F24" si="5">ROUNDUP(D24+(E24*D24),0)</f>
        <v>2129</v>
      </c>
      <c r="G24" s="136" t="s">
        <v>32</v>
      </c>
      <c r="H24" s="36"/>
      <c r="I24" s="36"/>
      <c r="J24" s="36"/>
      <c r="K24" s="36">
        <f t="shared" ref="K24" si="6">H24*F24</f>
        <v>0</v>
      </c>
      <c r="L24" s="36">
        <f t="shared" ref="L24" si="7">I24*F24</f>
        <v>0</v>
      </c>
      <c r="M24" s="36">
        <f t="shared" ref="M24" si="8">J24*F24</f>
        <v>0</v>
      </c>
      <c r="N24" s="36">
        <f t="shared" ref="N24" si="9">K24+L24+M24</f>
        <v>0</v>
      </c>
      <c r="O24" s="84"/>
    </row>
    <row r="25" spans="1:15" s="9" customFormat="1" x14ac:dyDescent="0.25">
      <c r="A25" s="135" t="str">
        <f>IF(F25=0,"",1+MAX(A$10:A24))</f>
        <v/>
      </c>
      <c r="B25" s="144"/>
      <c r="C25" s="137"/>
      <c r="D25" s="136"/>
      <c r="E25" s="136"/>
      <c r="F25" s="136"/>
      <c r="G25" s="136"/>
      <c r="H25" s="36"/>
      <c r="I25" s="36"/>
      <c r="J25" s="36"/>
      <c r="K25" s="36"/>
      <c r="L25" s="36"/>
      <c r="M25" s="36"/>
      <c r="N25" s="36"/>
      <c r="O25" s="84"/>
    </row>
    <row r="26" spans="1:15" s="9" customFormat="1" x14ac:dyDescent="0.25">
      <c r="A26" s="135" t="str">
        <f>IF(F26=0,"",1+MAX(A$10:A25))</f>
        <v/>
      </c>
      <c r="B26" s="144"/>
      <c r="C26" s="110" t="s">
        <v>41</v>
      </c>
      <c r="D26" s="111"/>
      <c r="E26" s="111"/>
      <c r="F26" s="111"/>
      <c r="G26" s="111"/>
      <c r="H26" s="112"/>
      <c r="I26" s="112"/>
      <c r="J26" s="112"/>
      <c r="K26" s="112"/>
      <c r="L26" s="112"/>
      <c r="M26" s="112"/>
      <c r="N26" s="112"/>
      <c r="O26" s="84"/>
    </row>
    <row r="27" spans="1:15" s="9" customFormat="1" ht="60" x14ac:dyDescent="0.25">
      <c r="A27" s="135">
        <f>IF(F27=0,"",1+MAX(A$10:A26))</f>
        <v>5</v>
      </c>
      <c r="B27" s="144"/>
      <c r="C27" s="137" t="s">
        <v>42</v>
      </c>
      <c r="D27" s="136">
        <v>162.61000000000001</v>
      </c>
      <c r="E27" s="64">
        <v>0.2</v>
      </c>
      <c r="F27" s="80">
        <f t="shared" ref="F27:F29" si="10">ROUNDUP(D27+(E27*D27),0)</f>
        <v>196</v>
      </c>
      <c r="G27" s="136" t="s">
        <v>32</v>
      </c>
      <c r="H27" s="36"/>
      <c r="I27" s="36"/>
      <c r="J27" s="36"/>
      <c r="K27" s="36">
        <f t="shared" ref="K27:K29" si="11">H27*F27</f>
        <v>0</v>
      </c>
      <c r="L27" s="36">
        <f t="shared" ref="L27:L29" si="12">I27*F27</f>
        <v>0</v>
      </c>
      <c r="M27" s="36">
        <f t="shared" ref="M27:M29" si="13">J27*F27</f>
        <v>0</v>
      </c>
      <c r="N27" s="36">
        <f t="shared" ref="N27:N29" si="14">K27+L27+M27</f>
        <v>0</v>
      </c>
      <c r="O27" s="84"/>
    </row>
    <row r="28" spans="1:15" s="9" customFormat="1" ht="60" x14ac:dyDescent="0.25">
      <c r="A28" s="135">
        <f>IF(F28=0,"",1+MAX(A$10:A27))</f>
        <v>6</v>
      </c>
      <c r="B28" s="144"/>
      <c r="C28" s="137" t="s">
        <v>43</v>
      </c>
      <c r="D28" s="136">
        <v>36.6</v>
      </c>
      <c r="E28" s="64">
        <v>0.1</v>
      </c>
      <c r="F28" s="80">
        <f t="shared" si="10"/>
        <v>41</v>
      </c>
      <c r="G28" s="136" t="s">
        <v>33</v>
      </c>
      <c r="H28" s="36"/>
      <c r="I28" s="36"/>
      <c r="J28" s="36"/>
      <c r="K28" s="36">
        <f t="shared" si="11"/>
        <v>0</v>
      </c>
      <c r="L28" s="36">
        <f t="shared" si="12"/>
        <v>0</v>
      </c>
      <c r="M28" s="36">
        <f t="shared" si="13"/>
        <v>0</v>
      </c>
      <c r="N28" s="36">
        <f t="shared" si="14"/>
        <v>0</v>
      </c>
      <c r="O28" s="84"/>
    </row>
    <row r="29" spans="1:15" s="9" customFormat="1" ht="45" x14ac:dyDescent="0.25">
      <c r="A29" s="135">
        <f>IF(F29=0,"",1+MAX(A$10:A28))</f>
        <v>7</v>
      </c>
      <c r="B29" s="144"/>
      <c r="C29" s="137" t="s">
        <v>44</v>
      </c>
      <c r="D29" s="136">
        <f>36.6+4*0.58333</f>
        <v>38.933320000000002</v>
      </c>
      <c r="E29" s="64">
        <v>0.1</v>
      </c>
      <c r="F29" s="80">
        <f t="shared" si="10"/>
        <v>43</v>
      </c>
      <c r="G29" s="136" t="s">
        <v>33</v>
      </c>
      <c r="H29" s="36"/>
      <c r="I29" s="36"/>
      <c r="J29" s="36"/>
      <c r="K29" s="36">
        <f t="shared" si="11"/>
        <v>0</v>
      </c>
      <c r="L29" s="36">
        <f t="shared" si="12"/>
        <v>0</v>
      </c>
      <c r="M29" s="36">
        <f t="shared" si="13"/>
        <v>0</v>
      </c>
      <c r="N29" s="36">
        <f t="shared" si="14"/>
        <v>0</v>
      </c>
      <c r="O29" s="84"/>
    </row>
    <row r="30" spans="1:15" s="9" customFormat="1" x14ac:dyDescent="0.25">
      <c r="A30" s="135" t="str">
        <f>IF(F30=0,"",1+MAX(A$10:A29))</f>
        <v/>
      </c>
      <c r="B30" s="144"/>
      <c r="C30" s="137"/>
      <c r="D30" s="136"/>
      <c r="E30" s="136"/>
      <c r="F30" s="136"/>
      <c r="G30" s="136"/>
      <c r="H30" s="36"/>
      <c r="I30" s="36"/>
      <c r="J30" s="36"/>
      <c r="K30" s="36"/>
      <c r="L30" s="36"/>
      <c r="M30" s="36"/>
      <c r="N30" s="36"/>
      <c r="O30" s="84"/>
    </row>
    <row r="31" spans="1:15" s="9" customFormat="1" x14ac:dyDescent="0.25">
      <c r="A31" s="135" t="str">
        <f>IF(F31=0,"",1+MAX(A$10:A30))</f>
        <v/>
      </c>
      <c r="B31" s="144"/>
      <c r="C31" s="110" t="s">
        <v>45</v>
      </c>
      <c r="D31" s="111"/>
      <c r="E31" s="111"/>
      <c r="F31" s="111"/>
      <c r="G31" s="111"/>
      <c r="H31" s="112"/>
      <c r="I31" s="112"/>
      <c r="J31" s="112"/>
      <c r="K31" s="112"/>
      <c r="L31" s="112"/>
      <c r="M31" s="112"/>
      <c r="N31" s="112"/>
      <c r="O31" s="84"/>
    </row>
    <row r="32" spans="1:15" s="9" customFormat="1" x14ac:dyDescent="0.25">
      <c r="A32" s="135">
        <f>IF(F32=0,"",1+MAX(A$10:A31))</f>
        <v>8</v>
      </c>
      <c r="B32" s="144"/>
      <c r="C32" s="138" t="s">
        <v>46</v>
      </c>
      <c r="D32" s="136">
        <v>107.92</v>
      </c>
      <c r="E32" s="64">
        <v>0.1</v>
      </c>
      <c r="F32" s="80">
        <f t="shared" ref="F32:F34" si="15">ROUNDUP(D32+(E32*D32),0)</f>
        <v>119</v>
      </c>
      <c r="G32" s="136" t="s">
        <v>33</v>
      </c>
      <c r="H32" s="36"/>
      <c r="I32" s="36"/>
      <c r="J32" s="36"/>
      <c r="K32" s="36">
        <f t="shared" ref="K32:K34" si="16">H32*F32</f>
        <v>0</v>
      </c>
      <c r="L32" s="36">
        <f t="shared" ref="L32:L34" si="17">I32*F32</f>
        <v>0</v>
      </c>
      <c r="M32" s="36">
        <f t="shared" ref="M32:M34" si="18">J32*F32</f>
        <v>0</v>
      </c>
      <c r="N32" s="36">
        <f t="shared" ref="N32:N34" si="19">K32+L32+M32</f>
        <v>0</v>
      </c>
      <c r="O32" s="84"/>
    </row>
    <row r="33" spans="1:17" s="9" customFormat="1" x14ac:dyDescent="0.25">
      <c r="A33" s="135">
        <f>IF(F33=0,"",1+MAX(A$10:A32))</f>
        <v>9</v>
      </c>
      <c r="B33" s="144"/>
      <c r="C33" s="138" t="s">
        <v>47</v>
      </c>
      <c r="D33" s="136">
        <v>99.45</v>
      </c>
      <c r="E33" s="64">
        <v>0.1</v>
      </c>
      <c r="F33" s="80">
        <f t="shared" si="15"/>
        <v>110</v>
      </c>
      <c r="G33" s="136" t="s">
        <v>33</v>
      </c>
      <c r="H33" s="36"/>
      <c r="I33" s="36"/>
      <c r="J33" s="36"/>
      <c r="K33" s="36">
        <f t="shared" si="16"/>
        <v>0</v>
      </c>
      <c r="L33" s="36">
        <f t="shared" si="17"/>
        <v>0</v>
      </c>
      <c r="M33" s="36">
        <f t="shared" si="18"/>
        <v>0</v>
      </c>
      <c r="N33" s="36">
        <f t="shared" si="19"/>
        <v>0</v>
      </c>
      <c r="O33" s="84"/>
    </row>
    <row r="34" spans="1:17" s="9" customFormat="1" x14ac:dyDescent="0.25">
      <c r="A34" s="135">
        <f>IF(F34=0,"",1+MAX(A$10:A33))</f>
        <v>10</v>
      </c>
      <c r="B34" s="144"/>
      <c r="C34" s="138" t="s">
        <v>48</v>
      </c>
      <c r="D34" s="136">
        <v>85.37</v>
      </c>
      <c r="E34" s="64">
        <v>0.1</v>
      </c>
      <c r="F34" s="80">
        <f t="shared" si="15"/>
        <v>94</v>
      </c>
      <c r="G34" s="136" t="s">
        <v>33</v>
      </c>
      <c r="H34" s="36"/>
      <c r="I34" s="36"/>
      <c r="J34" s="36"/>
      <c r="K34" s="36">
        <f t="shared" si="16"/>
        <v>0</v>
      </c>
      <c r="L34" s="36">
        <f t="shared" si="17"/>
        <v>0</v>
      </c>
      <c r="M34" s="36">
        <f t="shared" si="18"/>
        <v>0</v>
      </c>
      <c r="N34" s="36">
        <f t="shared" si="19"/>
        <v>0</v>
      </c>
      <c r="O34" s="84"/>
    </row>
    <row r="35" spans="1:17" s="9" customFormat="1" x14ac:dyDescent="0.25">
      <c r="A35" s="135" t="str">
        <f>IF(F35=0,"",1+MAX(A$10:A34))</f>
        <v/>
      </c>
      <c r="B35" s="144"/>
      <c r="C35" s="138"/>
      <c r="D35" s="136"/>
      <c r="E35" s="136"/>
      <c r="F35" s="136"/>
      <c r="G35" s="136"/>
      <c r="H35" s="36"/>
      <c r="I35" s="36"/>
      <c r="J35" s="36"/>
      <c r="K35" s="36"/>
      <c r="L35" s="36"/>
      <c r="M35" s="36"/>
      <c r="N35" s="36"/>
      <c r="O35" s="84"/>
    </row>
    <row r="36" spans="1:17" s="9" customFormat="1" x14ac:dyDescent="0.25">
      <c r="A36" s="135" t="str">
        <f>IF(F36=0,"",1+MAX(A$10:A35))</f>
        <v/>
      </c>
      <c r="B36" s="144"/>
      <c r="C36" s="110" t="s">
        <v>49</v>
      </c>
      <c r="D36" s="111"/>
      <c r="E36" s="111"/>
      <c r="F36" s="111"/>
      <c r="G36" s="111"/>
      <c r="H36" s="112"/>
      <c r="I36" s="112"/>
      <c r="J36" s="112"/>
      <c r="K36" s="112"/>
      <c r="L36" s="112"/>
      <c r="M36" s="112"/>
      <c r="N36" s="112"/>
      <c r="O36" s="84"/>
    </row>
    <row r="37" spans="1:17" s="9" customFormat="1" x14ac:dyDescent="0.25">
      <c r="A37" s="135">
        <f>IF(F37=0,"",1+MAX(A$10:A36))</f>
        <v>11</v>
      </c>
      <c r="B37" s="144"/>
      <c r="C37" s="138" t="s">
        <v>34</v>
      </c>
      <c r="D37" s="136">
        <v>3.16</v>
      </c>
      <c r="E37" s="64">
        <v>0.1</v>
      </c>
      <c r="F37" s="80">
        <f t="shared" ref="F37" si="20">ROUNDUP(D37+(E37*D37),0)</f>
        <v>4</v>
      </c>
      <c r="G37" s="136" t="s">
        <v>33</v>
      </c>
      <c r="H37" s="36"/>
      <c r="I37" s="36"/>
      <c r="J37" s="36"/>
      <c r="K37" s="36">
        <f t="shared" ref="K37" si="21">H37*F37</f>
        <v>0</v>
      </c>
      <c r="L37" s="36">
        <f t="shared" ref="L37" si="22">I37*F37</f>
        <v>0</v>
      </c>
      <c r="M37" s="36">
        <f t="shared" ref="M37" si="23">J37*F37</f>
        <v>0</v>
      </c>
      <c r="N37" s="36">
        <f t="shared" ref="N37" si="24">K37+L37+M37</f>
        <v>0</v>
      </c>
      <c r="O37" s="84"/>
    </row>
    <row r="38" spans="1:17" s="9" customFormat="1" x14ac:dyDescent="0.25">
      <c r="A38" s="135" t="str">
        <f>IF(F38=0,"",1+MAX(A$10:A37))</f>
        <v/>
      </c>
      <c r="B38" s="123"/>
      <c r="C38" s="109"/>
      <c r="D38" s="96"/>
      <c r="E38" s="96"/>
      <c r="F38" s="96"/>
      <c r="G38" s="80"/>
      <c r="H38" s="36"/>
      <c r="I38" s="36"/>
      <c r="J38" s="36"/>
      <c r="K38" s="36"/>
      <c r="L38" s="36"/>
      <c r="M38" s="36"/>
      <c r="N38" s="36"/>
      <c r="O38" s="84"/>
      <c r="Q38" s="116"/>
    </row>
    <row r="39" spans="1:17" s="9" customFormat="1" x14ac:dyDescent="0.25">
      <c r="A39" s="83" t="str">
        <f>IF(F39=0,"",1+MAX(A$10:A38))</f>
        <v/>
      </c>
      <c r="B39" s="27"/>
      <c r="C39" s="90" t="s">
        <v>50</v>
      </c>
      <c r="D39" s="63"/>
      <c r="E39" s="63"/>
      <c r="F39" s="65"/>
      <c r="G39" s="66"/>
      <c r="H39" s="67"/>
      <c r="I39" s="67"/>
      <c r="J39" s="67"/>
      <c r="K39" s="70">
        <f>SUM(K19:K38)</f>
        <v>0</v>
      </c>
      <c r="L39" s="70">
        <f>SUM(L19:L38)</f>
        <v>0</v>
      </c>
      <c r="M39" s="70">
        <f>SUM(M19:M38)</f>
        <v>0</v>
      </c>
      <c r="N39" s="68"/>
      <c r="O39" s="48">
        <f>(SUM(N19:N39))</f>
        <v>0</v>
      </c>
    </row>
    <row r="40" spans="1:17" s="9" customFormat="1" ht="16.5" thickBot="1" x14ac:dyDescent="0.3">
      <c r="A40" s="69"/>
      <c r="B40" s="12"/>
      <c r="C40" s="91"/>
      <c r="D40" s="7"/>
      <c r="E40" s="7"/>
      <c r="F40" s="8"/>
      <c r="G40" s="8"/>
      <c r="H40" s="37"/>
      <c r="I40" s="37"/>
      <c r="J40" s="37"/>
      <c r="K40" s="37"/>
      <c r="L40" s="38"/>
      <c r="M40" s="38"/>
      <c r="N40" s="38"/>
      <c r="O40" s="10"/>
    </row>
    <row r="41" spans="1:17" s="9" customFormat="1" x14ac:dyDescent="0.25">
      <c r="A41" s="49"/>
      <c r="B41" s="98" t="s">
        <v>9</v>
      </c>
      <c r="C41" s="92"/>
      <c r="D41" s="50"/>
      <c r="E41" s="50"/>
      <c r="F41" s="51"/>
      <c r="G41" s="51"/>
      <c r="H41" s="51"/>
      <c r="I41" s="51"/>
      <c r="J41" s="51"/>
      <c r="K41" s="51">
        <f>K16+K39</f>
        <v>0</v>
      </c>
      <c r="L41" s="51">
        <f>L16+L39</f>
        <v>0</v>
      </c>
      <c r="M41" s="51">
        <f>M16+M39</f>
        <v>0</v>
      </c>
      <c r="N41" s="50"/>
      <c r="O41" s="52">
        <f>SUM(O10:O40)</f>
        <v>0</v>
      </c>
    </row>
    <row r="42" spans="1:17" s="9" customFormat="1" x14ac:dyDescent="0.25">
      <c r="A42" s="53"/>
      <c r="B42" s="99" t="s">
        <v>13</v>
      </c>
      <c r="C42" s="93"/>
      <c r="D42" s="54"/>
      <c r="E42" s="54"/>
      <c r="F42" s="55">
        <v>0.25</v>
      </c>
      <c r="G42" s="56"/>
      <c r="H42" s="57"/>
      <c r="I42" s="57"/>
      <c r="J42" s="57"/>
      <c r="K42" s="57"/>
      <c r="L42" s="58"/>
      <c r="M42" s="58"/>
      <c r="N42" s="58"/>
      <c r="O42" s="59">
        <f>(O41*F42)</f>
        <v>0</v>
      </c>
      <c r="P42" s="113"/>
    </row>
    <row r="43" spans="1:17" s="9" customFormat="1" x14ac:dyDescent="0.25">
      <c r="A43" s="53"/>
      <c r="B43" s="99" t="s">
        <v>4</v>
      </c>
      <c r="C43" s="93"/>
      <c r="D43" s="54"/>
      <c r="E43" s="54"/>
      <c r="F43" s="55">
        <v>0.03</v>
      </c>
      <c r="G43" s="60"/>
      <c r="H43" s="57"/>
      <c r="I43" s="57"/>
      <c r="J43" s="57"/>
      <c r="K43" s="57"/>
      <c r="L43" s="58"/>
      <c r="M43" s="58"/>
      <c r="N43" s="58"/>
      <c r="O43" s="59">
        <f>(O41*F43)</f>
        <v>0</v>
      </c>
    </row>
    <row r="44" spans="1:17" s="9" customFormat="1" x14ac:dyDescent="0.25">
      <c r="A44" s="53"/>
      <c r="B44" s="99" t="s">
        <v>6</v>
      </c>
      <c r="C44" s="93"/>
      <c r="D44" s="54"/>
      <c r="E44" s="54"/>
      <c r="F44" s="55">
        <v>0.05</v>
      </c>
      <c r="G44" s="61"/>
      <c r="H44" s="57"/>
      <c r="I44" s="57"/>
      <c r="J44" s="57"/>
      <c r="K44" s="57"/>
      <c r="L44" s="58"/>
      <c r="M44" s="58"/>
      <c r="N44" s="58"/>
      <c r="O44" s="59">
        <f>(O41*F44)</f>
        <v>0</v>
      </c>
    </row>
    <row r="45" spans="1:17" ht="19.5" thickBot="1" x14ac:dyDescent="0.3">
      <c r="A45" s="81" t="s">
        <v>5</v>
      </c>
      <c r="B45" s="100"/>
      <c r="C45" s="94"/>
      <c r="D45" s="43"/>
      <c r="E45" s="43"/>
      <c r="F45" s="44"/>
      <c r="G45" s="107"/>
      <c r="H45" s="45"/>
      <c r="I45" s="45"/>
      <c r="J45" s="45"/>
      <c r="K45" s="45"/>
      <c r="L45" s="46"/>
      <c r="M45" s="46"/>
      <c r="N45" s="46"/>
      <c r="O45" s="47">
        <f>SUM(O41:O44)</f>
        <v>0</v>
      </c>
    </row>
    <row r="46" spans="1:17" s="9" customFormat="1" ht="19.5" thickBot="1" x14ac:dyDescent="0.3">
      <c r="A46" s="139" t="s">
        <v>7</v>
      </c>
      <c r="B46" s="140"/>
      <c r="C46" s="95"/>
      <c r="D46" s="23"/>
      <c r="E46" s="23"/>
      <c r="F46" s="24"/>
      <c r="G46" s="24"/>
      <c r="H46" s="39"/>
      <c r="I46" s="39"/>
      <c r="J46" s="39"/>
      <c r="K46" s="39"/>
      <c r="L46" s="40"/>
      <c r="M46" s="40"/>
      <c r="N46" s="40"/>
      <c r="O46" s="25"/>
    </row>
    <row r="47" spans="1:17" s="9" customFormat="1" x14ac:dyDescent="0.25">
      <c r="A47" s="62"/>
      <c r="B47" s="12"/>
      <c r="C47" s="95"/>
      <c r="D47" s="23"/>
      <c r="E47" s="23"/>
      <c r="F47" s="24"/>
      <c r="G47" s="24"/>
      <c r="H47" s="39"/>
      <c r="I47" s="39"/>
      <c r="J47" s="39"/>
      <c r="K47" s="39"/>
      <c r="L47" s="40"/>
      <c r="M47" s="40"/>
      <c r="N47" s="40"/>
      <c r="O47" s="25"/>
    </row>
  </sheetData>
  <mergeCells count="5">
    <mergeCell ref="A46:B46"/>
    <mergeCell ref="A18:B18"/>
    <mergeCell ref="A5:B5"/>
    <mergeCell ref="A11:B11"/>
    <mergeCell ref="B20:B37"/>
  </mergeCells>
  <printOptions horizontalCentered="1"/>
  <pageMargins left="0" right="0" top="0" bottom="0.17" header="0" footer="0"/>
  <pageSetup paperSize="9" scale="42" fitToHeight="0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BFAAE0-52AC-4509-A457-5DDE8BAA26B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BASE BID</vt:lpstr>
      <vt:lpstr>'BASE BID'!Print_Area</vt:lpstr>
      <vt:lpstr>'BASE BID'!Print_Titles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AU TRADERS</cp:lastModifiedBy>
  <cp:lastPrinted>2025-07-23T07:56:46Z</cp:lastPrinted>
  <dcterms:created xsi:type="dcterms:W3CDTF">2016-03-30T11:57:46Z</dcterms:created>
  <dcterms:modified xsi:type="dcterms:W3CDTF">2025-08-18T09:06:03Z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{3EBFAAE0-52AC-4509-A457-5DDE8BAA26B8}</vt:lpwstr>
  </property>
</Properties>
</file>